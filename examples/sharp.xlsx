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4370" windowHeight="8055"/>
  </bookViews>
  <sheets>
    <sheet name="Лист1" sheetId="1" r:id="rId1"/>
  </sheets>
  <calcPr calcId="162913"/>
</workbook>
</file>

<file path=xl/calcChain.xml><?xml version="1.0" encoding="utf-8"?>
<calcChain xmlns="http://schemas.openxmlformats.org/spreadsheetml/2006/main">
  <c r="A10" i="1" l="1"/>
  <c r="B10" i="1"/>
  <c r="D10" i="1" l="1"/>
</calcChain>
</file>

<file path=xl/sharedStrings.xml><?xml version="1.0" encoding="utf-8"?>
<sst xmlns="http://schemas.openxmlformats.org/spreadsheetml/2006/main" count="11" uniqueCount="11">
  <si>
    <t>Расчет коэфициента Шарпа</t>
  </si>
  <si>
    <t>Веса в портфеле:</t>
  </si>
  <si>
    <t>Дата</t>
  </si>
  <si>
    <t>Purple Valley Capital, Inc. : Diversified Trend 1 (Perfomance)</t>
  </si>
  <si>
    <t>AIS Capital Management, L.P. : MAAP (3x-6x) Composite (Perfomance)</t>
  </si>
  <si>
    <t>Glenhaven Capital LLC : Glenhaven Global II LP (Perfomance)</t>
  </si>
  <si>
    <t>Доходность портфеля</t>
  </si>
  <si>
    <t>Риск портфеля</t>
  </si>
  <si>
    <t>Безрисковая доходность (пример: банковский вклад)</t>
  </si>
  <si>
    <t>Коэффициент Шарпа</t>
  </si>
  <si>
    <t>Уровень избыточной доходности отрицательный, целесообразнее вложить в безрисковый актив с минимальным уровнем риска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</si>
</sst>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0"/>
      <color rgb="FF000000"/>
      <name val="Arial"/>
    </font>
    <font>
      <sz val="10"/>
      <color theme="1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name val="Arial"/>
      <family val="2"/>
      <charset val="204"/>
    </font>
    <font>
      <sz val="11"/>
      <color rgb="FF212034"/>
      <name val="Arial"/>
      <family val="2"/>
      <charset val="204"/>
    </font>
    <font>
      <sz val="10"/>
      <color rgb="FF212034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5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6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2" fontId="1" fillId="0" borderId="0" xfId="0" applyNumberFormat="1" applyFont="1" applyAlignment="1"/>
    <xf numFmtId="10" fontId="7" fillId="0" borderId="0" xfId="0" applyNumberFormat="1" applyFont="1" applyAlignment="1"/>
    <xf numFmtId="9" fontId="0" fillId="0" borderId="0" xfId="0" applyNumberFormat="1" applyFont="1" applyAlignment="1"/>
    <xf numFmtId="10" fontId="4" fillId="0" borderId="0" xfId="1" applyNumberFormat="1" applyFont="1" applyAlignment="1"/>
    <xf numFmtId="10" fontId="0" fillId="0" borderId="0" xfId="0" applyNumberFormat="1" applyFont="1" applyAlignment="1"/>
    <xf numFmtId="10" fontId="4" fillId="0" borderId="0" xfId="1" quotePrefix="1" applyNumberFormat="1" applyFont="1" applyAlignment="1">
      <alignment horizontal="right"/>
    </xf>
    <xf numFmtId="0" fontId="8" fillId="0" borderId="0" xfId="0" applyFont="1" applyAlignment="1"/>
    <xf numFmtId="10" fontId="5" fillId="0" borderId="0" xfId="1" applyNumberFormat="1" applyFont="1" applyAlignment="1">
      <alignment horizontal="right"/>
    </xf>
    <xf numFmtId="14" fontId="1" fillId="0" borderId="0" xfId="0" applyNumberFormat="1" applyFont="1" applyAlignme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"/>
  <sheetViews>
    <sheetView tabSelected="1" workbookViewId="0">
      <selection activeCell="B7" sqref="B7"/>
    </sheetView>
  </sheetViews>
  <sheetFormatPr defaultColWidth="14.42578125" defaultRowHeight="15.75" customHeight="1" x14ac:dyDescent="0.2"/>
  <cols>
    <col min="1" max="1" width="37.85546875" customWidth="1"/>
    <col min="2" max="2" width="40.28515625" customWidth="1"/>
    <col min="3" max="3" width="51.28515625" customWidth="1"/>
    <col min="4" max="4" width="14.42578125" customWidth="1"/>
  </cols>
  <sheetData>
    <row r="1" spans="1:7" x14ac:dyDescent="0.2">
      <c r="A1" s="1" t="s">
        <v>0</v>
      </c>
    </row>
    <row r="2" spans="1:7" x14ac:dyDescent="0.2">
      <c r="A2" s="1" t="s">
        <v>1</v>
      </c>
      <c r="B2" s="6">
        <v>0.3</v>
      </c>
      <c r="C2" s="6">
        <v>0.5</v>
      </c>
      <c r="D2" s="6">
        <v>0.2</v>
      </c>
    </row>
    <row r="3" spans="1:7" x14ac:dyDescent="0.2">
      <c r="A3" s="1" t="s">
        <v>2</v>
      </c>
      <c r="B3" s="2" t="s">
        <v>3</v>
      </c>
      <c r="C3" s="2" t="s">
        <v>4</v>
      </c>
      <c r="D3" s="2" t="s">
        <v>5</v>
      </c>
      <c r="E3" s="3"/>
      <c r="F3" s="4"/>
      <c r="G3" s="4"/>
    </row>
    <row r="4" spans="1:7" x14ac:dyDescent="0.2">
      <c r="A4" s="14">
        <v>44197</v>
      </c>
      <c r="B4" s="9">
        <v>7.8600000000000003E-2</v>
      </c>
      <c r="C4" s="9">
        <v>0.11509999999999999</v>
      </c>
      <c r="D4" s="9">
        <v>3.7999999999999999E-2</v>
      </c>
    </row>
    <row r="5" spans="1:7" x14ac:dyDescent="0.2">
      <c r="A5" s="14">
        <v>44228</v>
      </c>
      <c r="B5" s="9">
        <v>0.35239999999999999</v>
      </c>
      <c r="C5" s="9">
        <v>0.1096</v>
      </c>
      <c r="D5" s="9">
        <v>0.23219999999999999</v>
      </c>
    </row>
    <row r="6" spans="1:7" x14ac:dyDescent="0.2">
      <c r="A6" s="14">
        <v>44256</v>
      </c>
      <c r="B6" s="9">
        <v>0.19400000000000001</v>
      </c>
      <c r="C6" s="11">
        <v>-0.1101</v>
      </c>
      <c r="D6" s="9">
        <v>3.9800000000000002E-2</v>
      </c>
    </row>
    <row r="7" spans="1:7" x14ac:dyDescent="0.2">
      <c r="A7" s="14">
        <v>44287</v>
      </c>
      <c r="B7" s="9">
        <v>4.3499999999999997E-2</v>
      </c>
      <c r="C7" s="9">
        <v>0.33079999999999998</v>
      </c>
      <c r="D7" s="13">
        <v>6.88E-2</v>
      </c>
    </row>
    <row r="9" spans="1:7" ht="15.75" customHeight="1" x14ac:dyDescent="0.2">
      <c r="A9" s="5" t="s">
        <v>6</v>
      </c>
      <c r="B9" s="5" t="s">
        <v>7</v>
      </c>
      <c r="C9" s="5" t="s">
        <v>8</v>
      </c>
      <c r="D9" s="12" t="s">
        <v>9</v>
      </c>
    </row>
    <row r="10" spans="1:7" ht="15.75" customHeight="1" x14ac:dyDescent="0.2">
      <c r="A10" s="10">
        <f>AVERAGE(B4:B7)*B2+AVERAGE(C4:C7)*C2+AVERAGE(D4:D7)*D2</f>
        <v>0.1247525</v>
      </c>
      <c r="B10" s="7">
        <f>STDEV(B4:B7)*B2+STDEV(C4:C7)*C2+STDEV(D4:D7)*D2</f>
        <v>0.15033057045610387</v>
      </c>
      <c r="C10" s="8">
        <v>0.04</v>
      </c>
      <c r="D10">
        <f>(A10-B10)/C10</f>
        <v>-0.63945176140259674</v>
      </c>
      <c r="E10" s="5" t="s">
        <v>10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Землянский Никита Алексеевич</dc:creator>
  <cp:lastModifiedBy>Землянский Никита Алексеевич</cp:lastModifiedBy>
  <dcterms:created xsi:type="dcterms:W3CDTF">2021-05-20T09:14:10Z</dcterms:created>
  <dcterms:modified xsi:type="dcterms:W3CDTF">2021-05-20T10:10:44Z</dcterms:modified>
</cp:coreProperties>
</file>